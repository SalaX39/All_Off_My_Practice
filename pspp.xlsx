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a\Desktop\"/>
    </mc:Choice>
  </mc:AlternateContent>
  <xr:revisionPtr revIDLastSave="0" documentId="13_ncr:1_{9EBFCC2B-BF73-48A5-8D96-32C8582822C9}" xr6:coauthVersionLast="47" xr6:coauthVersionMax="47" xr10:uidLastSave="{00000000-0000-0000-0000-000000000000}"/>
  <bookViews>
    <workbookView xWindow="-108" yWindow="-108" windowWidth="23256" windowHeight="12456" xr2:uid="{9EED5207-755C-4349-A924-D634A6EC7A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B21" i="1"/>
  <c r="A21" i="1"/>
  <c r="B17" i="1"/>
  <c r="A17" i="1"/>
  <c r="O9" i="1"/>
  <c r="K5" i="1"/>
  <c r="K2" i="1"/>
  <c r="K10" i="1" s="1"/>
  <c r="K12" i="1" s="1"/>
  <c r="O8" i="1"/>
  <c r="K11" i="1"/>
  <c r="K9" i="1"/>
  <c r="F12" i="1" l="1"/>
  <c r="E12" i="1"/>
  <c r="D12" i="1"/>
  <c r="C12" i="1"/>
  <c r="B1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D2" i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<sst xmlns="http://schemas.openxmlformats.org/spreadsheetml/2006/main" count="28" uniqueCount="28">
  <si>
    <t>X</t>
  </si>
  <si>
    <t>Y</t>
  </si>
  <si>
    <t>XY</t>
  </si>
  <si>
    <t>X2</t>
  </si>
  <si>
    <t>Y2</t>
  </si>
  <si>
    <t>выброчные средный</t>
  </si>
  <si>
    <t>S1</t>
  </si>
  <si>
    <t>S2</t>
  </si>
  <si>
    <t>Исправленные средние квадратичные</t>
  </si>
  <si>
    <t>Sx</t>
  </si>
  <si>
    <t>Sy</t>
  </si>
  <si>
    <t>Орташа мән</t>
  </si>
  <si>
    <t>коэффициент корреляции</t>
  </si>
  <si>
    <t>rxy</t>
  </si>
  <si>
    <t>коэффициент детерминации</t>
  </si>
  <si>
    <t>R2xy</t>
  </si>
  <si>
    <t>вспомогательные данные</t>
  </si>
  <si>
    <t>n</t>
  </si>
  <si>
    <t>уровень значимости</t>
  </si>
  <si>
    <t>Проверка значимости коэффициента корреляции</t>
  </si>
  <si>
    <t>Стандартная ошибка</t>
  </si>
  <si>
    <t>t-статистика</t>
  </si>
  <si>
    <t>Критическое значение t-статистика</t>
  </si>
  <si>
    <t>Вывод</t>
  </si>
  <si>
    <t>коэффицент регресси</t>
  </si>
  <si>
    <t>b</t>
  </si>
  <si>
    <t>a</t>
  </si>
  <si>
    <t>Наклон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</si>
</sst>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sz val="8"/>
      <color theme="1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/>
    <xf numFmtId="0" fontId="2" fillId="0" borderId="0" xfId="0" applyFont="1"/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Sheet1!$B$2:$B$11</c:f>
              <c:numCache>
                <c:formatCode>General</c:formatCode>
                <c:ptCount val="10"/>
                <c:pt idx="0">
                  <c:v>36</c:v>
                </c:pt>
                <c:pt idx="1">
                  <c:v>28</c:v>
                </c:pt>
                <c:pt idx="2">
                  <c:v>43</c:v>
                </c:pt>
                <c:pt idx="3">
                  <c:v>52</c:v>
                </c:pt>
                <c:pt idx="4">
                  <c:v>51</c:v>
                </c:pt>
                <c:pt idx="5">
                  <c:v>54</c:v>
                </c:pt>
                <c:pt idx="6">
                  <c:v>25</c:v>
                </c:pt>
                <c:pt idx="7">
                  <c:v>37</c:v>
                </c:pt>
                <c:pt idx="8">
                  <c:v>51</c:v>
                </c:pt>
                <c:pt idx="9">
                  <c:v>29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85</c:v>
                </c:pt>
                <c:pt idx="1">
                  <c:v>60</c:v>
                </c:pt>
                <c:pt idx="2">
                  <c:v>99</c:v>
                </c:pt>
                <c:pt idx="3">
                  <c:v>117</c:v>
                </c:pt>
                <c:pt idx="4">
                  <c:v>118</c:v>
                </c:pt>
                <c:pt idx="5">
                  <c:v>125</c:v>
                </c:pt>
                <c:pt idx="6">
                  <c:v>56</c:v>
                </c:pt>
                <c:pt idx="7">
                  <c:v>86</c:v>
                </c:pt>
                <c:pt idx="8">
                  <c:v>115</c:v>
                </c:pt>
                <c:pt idx="9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27-4942-9BE0-C169F68CA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89216"/>
        <c:axId val="79491712"/>
      </c:scatterChart>
      <c:valAx>
        <c:axId val="7948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491712"/>
        <c:crosses val="autoZero"/>
        <c:crossBetween val="midCat"/>
      </c:valAx>
      <c:valAx>
        <c:axId val="7949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48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</xdr:colOff>
      <xdr:row>11</xdr:row>
      <xdr:rowOff>156210</xdr:rowOff>
    </xdr:from>
    <xdr:to>
      <xdr:col>16</xdr:col>
      <xdr:colOff>579120</xdr:colOff>
      <xdr:row>23</xdr:row>
      <xdr:rowOff>156210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3F8E9E9-36E5-4E88-9857-FC79287F8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B76D-F4CB-4849-9E29-C868A013CB4C}">
  <dimension ref="A1:O21"/>
  <sheetViews>
    <sheetView tabSelected="1" zoomScale="87" workbookViewId="0">
      <selection activeCell="K7" sqref="K7"/>
    </sheetView>
  </sheetViews>
  <sheetFormatPr defaultRowHeight="14.4"/>
  <cols>
    <col min="1" max="1" width="17.44140625" customWidth="1"/>
    <col min="10" max="10" width="36.6640625" customWidth="1"/>
    <col min="11" max="11" width="16.6640625" customWidth="1"/>
    <col min="14" max="14" width="22.88671875" customWidth="1"/>
  </cols>
  <sheetData>
    <row r="1" spans="1:1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J1" s="1" t="s">
        <v>12</v>
      </c>
      <c r="K1" s="1"/>
      <c r="N1" s="1" t="s">
        <v>16</v>
      </c>
      <c r="O1" s="1"/>
    </row>
    <row r="2" spans="1:15">
      <c r="A2" s="1">
        <v>1</v>
      </c>
      <c r="B2" s="1">
        <v>36</v>
      </c>
      <c r="C2" s="1">
        <v>85</v>
      </c>
      <c r="D2" s="1">
        <f t="shared" ref="D2:D11" si="0" xml:space="preserve"> B2*C2</f>
        <v>3060</v>
      </c>
      <c r="E2" s="1">
        <f xml:space="preserve"> B2^2</f>
        <v>1296</v>
      </c>
      <c r="F2" s="1">
        <f xml:space="preserve"> C2^2</f>
        <v>7225</v>
      </c>
      <c r="J2" s="1" t="s">
        <v>13</v>
      </c>
      <c r="K2" s="1">
        <f>CORREL(B2:B11, C2:C11)</f>
        <v>0.99665908974956874</v>
      </c>
      <c r="N2" s="1" t="s">
        <v>17</v>
      </c>
      <c r="O2" s="1">
        <v>10</v>
      </c>
    </row>
    <row r="3" spans="1:15">
      <c r="A3" s="1">
        <v>2</v>
      </c>
      <c r="B3" s="1">
        <v>28</v>
      </c>
      <c r="C3" s="1">
        <v>60</v>
      </c>
      <c r="D3" s="1">
        <f t="shared" si="0"/>
        <v>1680</v>
      </c>
      <c r="E3" s="1">
        <f t="shared" ref="E3:E11" si="1" xml:space="preserve"> B3^2</f>
        <v>784</v>
      </c>
      <c r="F3" s="1">
        <f t="shared" ref="F3:F11" si="2" xml:space="preserve"> C3^2</f>
        <v>3600</v>
      </c>
      <c r="N3" s="1" t="s">
        <v>18</v>
      </c>
      <c r="O3" s="1">
        <v>0.05</v>
      </c>
    </row>
    <row r="4" spans="1:15">
      <c r="A4" s="1">
        <v>3</v>
      </c>
      <c r="B4" s="1">
        <v>43</v>
      </c>
      <c r="C4" s="1">
        <v>99</v>
      </c>
      <c r="D4" s="1">
        <f t="shared" si="0"/>
        <v>4257</v>
      </c>
      <c r="E4" s="1">
        <f t="shared" si="1"/>
        <v>1849</v>
      </c>
      <c r="F4" s="1">
        <f t="shared" si="2"/>
        <v>9801</v>
      </c>
      <c r="J4" s="1" t="s">
        <v>14</v>
      </c>
      <c r="K4" s="1"/>
    </row>
    <row r="5" spans="1:15">
      <c r="A5" s="1">
        <v>4</v>
      </c>
      <c r="B5" s="1">
        <v>52</v>
      </c>
      <c r="C5" s="1">
        <v>117</v>
      </c>
      <c r="D5" s="1">
        <f t="shared" si="0"/>
        <v>6084</v>
      </c>
      <c r="E5" s="1">
        <f t="shared" si="1"/>
        <v>2704</v>
      </c>
      <c r="F5" s="1">
        <f t="shared" si="2"/>
        <v>13689</v>
      </c>
      <c r="J5" s="1" t="s">
        <v>15</v>
      </c>
      <c r="K5" s="1">
        <f>RSQ(B2:B11, C2:C11)</f>
        <v>0.99332934118043892</v>
      </c>
    </row>
    <row r="6" spans="1:15">
      <c r="A6" s="1">
        <v>5</v>
      </c>
      <c r="B6" s="1">
        <v>51</v>
      </c>
      <c r="C6" s="1">
        <v>118</v>
      </c>
      <c r="D6" s="1">
        <f t="shared" si="0"/>
        <v>6018</v>
      </c>
      <c r="E6" s="1">
        <f t="shared" si="1"/>
        <v>2601</v>
      </c>
      <c r="F6" s="1">
        <f t="shared" si="2"/>
        <v>13924</v>
      </c>
    </row>
    <row r="7" spans="1:15">
      <c r="A7" s="1">
        <v>6</v>
      </c>
      <c r="B7" s="1">
        <v>54</v>
      </c>
      <c r="C7" s="1">
        <v>125</v>
      </c>
      <c r="D7" s="1">
        <f t="shared" si="0"/>
        <v>6750</v>
      </c>
      <c r="E7" s="1">
        <f t="shared" si="1"/>
        <v>2916</v>
      </c>
      <c r="F7" s="1">
        <f t="shared" si="2"/>
        <v>15625</v>
      </c>
      <c r="N7" s="1" t="s">
        <v>24</v>
      </c>
      <c r="O7" s="1"/>
    </row>
    <row r="8" spans="1:15">
      <c r="A8" s="1">
        <v>7</v>
      </c>
      <c r="B8" s="1">
        <v>25</v>
      </c>
      <c r="C8" s="1">
        <v>56</v>
      </c>
      <c r="D8" s="1">
        <f t="shared" si="0"/>
        <v>1400</v>
      </c>
      <c r="E8" s="1">
        <f t="shared" si="1"/>
        <v>625</v>
      </c>
      <c r="F8" s="1">
        <f t="shared" si="2"/>
        <v>3136</v>
      </c>
      <c r="J8" s="1" t="s">
        <v>19</v>
      </c>
      <c r="K8" s="1"/>
      <c r="N8" s="1" t="s">
        <v>26</v>
      </c>
      <c r="O8" s="1">
        <f>LINEST(C2:C11,B2:B11)</f>
        <v>2.3136792452830184</v>
      </c>
    </row>
    <row r="9" spans="1:15">
      <c r="A9" s="1">
        <v>8</v>
      </c>
      <c r="B9" s="1">
        <v>37</v>
      </c>
      <c r="C9" s="1">
        <v>86</v>
      </c>
      <c r="D9" s="1">
        <f t="shared" si="0"/>
        <v>3182</v>
      </c>
      <c r="E9" s="1">
        <f t="shared" si="1"/>
        <v>1369</v>
      </c>
      <c r="F9" s="1">
        <f t="shared" si="2"/>
        <v>7396</v>
      </c>
      <c r="J9" s="1" t="s">
        <v>20</v>
      </c>
      <c r="K9" s="1">
        <f>STEYX(B2:B11,C2:C11)</f>
        <v>0.95875793886440464</v>
      </c>
      <c r="N9" s="1" t="s">
        <v>25</v>
      </c>
      <c r="O9" s="1">
        <f>LINEST(B2:B11,C2:C11)</f>
        <v>0.42932888956218745</v>
      </c>
    </row>
    <row r="10" spans="1:15">
      <c r="A10" s="1">
        <v>9</v>
      </c>
      <c r="B10" s="1">
        <v>51</v>
      </c>
      <c r="C10" s="1">
        <v>115</v>
      </c>
      <c r="D10" s="1">
        <f t="shared" si="0"/>
        <v>5865</v>
      </c>
      <c r="E10" s="1">
        <f t="shared" si="1"/>
        <v>2601</v>
      </c>
      <c r="F10" s="1">
        <f t="shared" si="2"/>
        <v>13225</v>
      </c>
      <c r="J10" s="1" t="s">
        <v>21</v>
      </c>
      <c r="K10" s="1">
        <f xml:space="preserve"> K2/ K9</f>
        <v>1.0395315119164028</v>
      </c>
    </row>
    <row r="11" spans="1:15">
      <c r="A11" s="1">
        <v>10</v>
      </c>
      <c r="B11" s="1">
        <v>29</v>
      </c>
      <c r="C11" s="1">
        <v>68</v>
      </c>
      <c r="D11" s="1">
        <f t="shared" si="0"/>
        <v>1972</v>
      </c>
      <c r="E11" s="1">
        <f t="shared" si="1"/>
        <v>841</v>
      </c>
      <c r="F11" s="1">
        <f t="shared" si="2"/>
        <v>4624</v>
      </c>
      <c r="J11" s="1" t="s">
        <v>22</v>
      </c>
      <c r="K11" s="1">
        <f>_xlfn.T.INV.2T(0.05, 10)</f>
        <v>2.2281388519862744</v>
      </c>
    </row>
    <row r="12" spans="1:15" ht="34.200000000000003" customHeight="1">
      <c r="A12" s="1" t="s">
        <v>11</v>
      </c>
      <c r="B12" s="1">
        <f>AVERAGE(B2:B11)</f>
        <v>40.6</v>
      </c>
      <c r="C12" s="1">
        <f>AVERAGE(C2:C11)</f>
        <v>92.9</v>
      </c>
      <c r="D12" s="1">
        <f>AVERAGE(D2:D11)</f>
        <v>4026.8</v>
      </c>
      <c r="E12" s="1">
        <f>AVERAGE(E2:E11)</f>
        <v>1758.6</v>
      </c>
      <c r="F12" s="1">
        <f>AVERAGE(F2:F11)</f>
        <v>9224.5</v>
      </c>
      <c r="J12" s="1" t="s">
        <v>23</v>
      </c>
      <c r="K12" s="1" t="str">
        <f>IF(K10 &gt; K11, "Связь значима", "Связь не значима")</f>
        <v>Связь не значима</v>
      </c>
    </row>
    <row r="15" spans="1:15" ht="37.799999999999997" customHeight="1">
      <c r="A15" s="1" t="s">
        <v>5</v>
      </c>
      <c r="B15" s="1"/>
    </row>
    <row r="16" spans="1:15">
      <c r="A16" s="1" t="s">
        <v>6</v>
      </c>
      <c r="B16" s="1" t="s">
        <v>7</v>
      </c>
      <c r="G16" s="1" t="s">
        <v>27</v>
      </c>
      <c r="H16" s="1">
        <f>SLOPE(C2:C11, B2:B11)</f>
        <v>2.3136792452830188</v>
      </c>
    </row>
    <row r="17" spans="1:7">
      <c r="A17" s="1">
        <f>_xlfn.VAR.S(B2:B11)</f>
        <v>122.48888888888905</v>
      </c>
      <c r="B17" s="1">
        <f>_xlfn.VAR.S(C2:C11)</f>
        <v>660.09999999999934</v>
      </c>
      <c r="G17" s="2"/>
    </row>
    <row r="19" spans="1:7">
      <c r="A19" s="1" t="s">
        <v>8</v>
      </c>
      <c r="B19" s="1"/>
      <c r="C19" s="1"/>
    </row>
    <row r="20" spans="1:7">
      <c r="A20" s="1" t="s">
        <v>9</v>
      </c>
      <c r="B20" s="1" t="s">
        <v>10</v>
      </c>
      <c r="C20" s="1"/>
    </row>
    <row r="21" spans="1:7">
      <c r="A21" s="1">
        <f>_xlfn.STDEV.S(B2:B11)</f>
        <v>11.067469850371811</v>
      </c>
      <c r="B21" s="1">
        <f>_xlfn.STDEV.S(C2:C11)</f>
        <v>25.692411330974743</v>
      </c>
      <c r="C2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</dc:creator>
  <cp:lastModifiedBy>Sala</cp:lastModifiedBy>
  <dcterms:created xsi:type="dcterms:W3CDTF">2024-02-28T08:44:09Z</dcterms:created>
  <dcterms:modified xsi:type="dcterms:W3CDTF">2024-02-29T08:25:27Z</dcterms:modified>
</cp:coreProperties>
</file>